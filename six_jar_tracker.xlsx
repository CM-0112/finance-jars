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Jars" sheetId="2" state="visible" r:id="rId4"/>
    <sheet name="Income" sheetId="3" state="visible" r:id="rId5"/>
    <sheet name="Expense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<sst xmlns="http://schemas.openxmlformats.org/spreadsheetml/2006/main" count="91" uniqueCount="73">
  <si>
    <t xml:space="preserve">Your 6-Jar Money Tracker</t>
  </si>
  <si>
    <t xml:space="preserve">How it works (read once, then you're set):</t>
  </si>
  <si>
    <t xml:space="preserve">1.  JARS tab — your six jars and their percentages. The blue numbers are yours to change.</t>
  </si>
  <si>
    <t xml:space="preserve">      They must add up to 100% (there's a checker that tells you if they don't).</t>
  </si>
  <si>
    <t xml:space="preserve">2.  INCOME tab — add one row every time you get paid (net / take-home amount).</t>
  </si>
  <si>
    <t xml:space="preserve">3.  EXPENSES tab — add one row every time you spend. Pick which jar it came from</t>
  </si>
  <si>
    <t xml:space="preserve">      from the dropdown. That's the only tab you'll touch day to day.</t>
  </si>
  <si>
    <t xml:space="preserve">4.  DASHBOARD tab — shows, per jar: how much you allocated, how much you've spent,</t>
  </si>
  <si>
    <t xml:space="preserve">      and what's left. It updates by itself.</t>
  </si>
  <si>
    <t xml:space="preserve">THE ONE RULE THAT KEEPS THIS HONEST:</t>
  </si>
  <si>
    <t xml:space="preserve">Log every purchase ONCE, when it happens — whether you paid by card or cash.</t>
  </si>
  <si>
    <t xml:space="preserve">When your credit-card BILL arrives, do NOT log the payment as an expense.</t>
  </si>
  <si>
    <t xml:space="preserve">Those purchases were already counted. Logging the bill too = double-counting.</t>
  </si>
  <si>
    <t xml:space="preserve">Two of your jars behave differently from the rest:</t>
  </si>
  <si>
    <t xml:space="preserve">•  Financial Freedom — you never spend this. The 'balance' is meant to keep growing;</t>
  </si>
  <si>
    <t xml:space="preserve">    it's your investing pile. A big number here is the goal, not money to use.</t>
  </si>
  <si>
    <t xml:space="preserve">•  Play — you're SUPPOSED to empty this regularly. A growing Play balance is a nudge</t>
  </si>
  <si>
    <t xml:space="preserve">    to go enjoy it, not to hoard it.</t>
  </si>
  <si>
    <t xml:space="preserve">The sheet comes with a few EXAMPLE rows so the dashboard isn't blank.</t>
  </si>
  <si>
    <t xml:space="preserve">Delete the example rows in Income and Expenses before you start for real.</t>
  </si>
  <si>
    <t xml:space="preserve">Your Jars</t>
  </si>
  <si>
    <t xml:space="preserve">Change the blue percentages to fit your life. They must total 100%.</t>
  </si>
  <si>
    <t xml:space="preserve">Jar</t>
  </si>
  <si>
    <t xml:space="preserve">Percentage</t>
  </si>
  <si>
    <t xml:space="preserve">Type</t>
  </si>
  <si>
    <t xml:space="preserve">Notes</t>
  </si>
  <si>
    <t xml:space="preserve">Financial Freedom</t>
  </si>
  <si>
    <t xml:space="preserve">Accumulate</t>
  </si>
  <si>
    <t xml:space="preserve">Invest only. Never spend the principal — let it grow.</t>
  </si>
  <si>
    <t xml:space="preserve">Long-Term Savings</t>
  </si>
  <si>
    <t xml:space="preserve">Big future purchases, reserves, emergencies.</t>
  </si>
  <si>
    <t xml:space="preserve">Education</t>
  </si>
  <si>
    <t xml:space="preserve">Spend</t>
  </si>
  <si>
    <t xml:space="preserve">Courses, books, coaching, skills.</t>
  </si>
  <si>
    <t xml:space="preserve">Play</t>
  </si>
  <si>
    <t xml:space="preserve">Guilt-free fun. Empty it regularly — that's the point.</t>
  </si>
  <si>
    <t xml:space="preserve">Give</t>
  </si>
  <si>
    <t xml:space="preserve">Charity / causes. Accumulates until you donate.</t>
  </si>
  <si>
    <t xml:space="preserve">Necessities</t>
  </si>
  <si>
    <t xml:space="preserve">Rent, food, bills, transport. Adjust up if 50% is tight.</t>
  </si>
  <si>
    <t xml:space="preserve">Total</t>
  </si>
  <si>
    <t xml:space="preserve">Income (your take-home pay)</t>
  </si>
  <si>
    <t xml:space="preserve">Add a row each payday. Delete the example rows below before starting for real.</t>
  </si>
  <si>
    <t xml:space="preserve">Date</t>
  </si>
  <si>
    <t xml:space="preserve">Source</t>
  </si>
  <si>
    <t xml:space="preserve">Net Amount</t>
  </si>
  <si>
    <t xml:space="preserve">2026-01-15</t>
  </si>
  <si>
    <t xml:space="preserve">Paycheck (EXAMPLE)</t>
  </si>
  <si>
    <t xml:space="preserve">2026-01-31</t>
  </si>
  <si>
    <t xml:space="preserve">Expenses (log every purchase, once)</t>
  </si>
  <si>
    <t xml:space="preserve">Pick the jar from the dropdown. Do NOT log credit-card BILL payments here.</t>
  </si>
  <si>
    <t xml:space="preserve">Amount</t>
  </si>
  <si>
    <t xml:space="preserve">Note</t>
  </si>
  <si>
    <t xml:space="preserve">Paid With</t>
  </si>
  <si>
    <t xml:space="preserve">2026-01-16</t>
  </si>
  <si>
    <t xml:space="preserve">Rent (EXAMPLE)</t>
  </si>
  <si>
    <t xml:space="preserve">Cash/Debit</t>
  </si>
  <si>
    <t xml:space="preserve">2026-01-17</t>
  </si>
  <si>
    <t xml:space="preserve">Groceries (EXAMPLE)</t>
  </si>
  <si>
    <t xml:space="preserve">Credit Card</t>
  </si>
  <si>
    <t xml:space="preserve">2026-01-18</t>
  </si>
  <si>
    <t xml:space="preserve">Dinner out (EXAMPLE)</t>
  </si>
  <si>
    <t xml:space="preserve">2026-01-20</t>
  </si>
  <si>
    <t xml:space="preserve">Online course (EXAMPLE)</t>
  </si>
  <si>
    <t xml:space="preserve">2026-01-22</t>
  </si>
  <si>
    <t xml:space="preserve">Donation (EXAMPLE)</t>
  </si>
  <si>
    <t xml:space="preserve">6-Jar Dashboard</t>
  </si>
  <si>
    <t xml:space="preserve">Total Net Income</t>
  </si>
  <si>
    <t xml:space="preserve">Allocated</t>
  </si>
  <si>
    <t xml:space="preserve">Spent / Used</t>
  </si>
  <si>
    <t xml:space="preserve">Balance Left</t>
  </si>
  <si>
    <t xml:space="preserve">% Used</t>
  </si>
  <si>
    <t xml:space="preserve">Reminder: 'Balance Left' on Financial Freedom / Give / Long-Term Savings is money ACCUMULATING, not money to burn through.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</si>
</sst>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5</v>
      </c>
    </row>
    <row r="11" customFormat="false" ht="15" hidden="false" customHeight="false" outlineLevel="0" collapsed="false">
      <c r="A11" s="2" t="s">
        <v>6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7</v>
      </c>
    </row>
    <row r="14" customFormat="false" ht="15" hidden="false" customHeight="false" outlineLevel="0" collapsed="false">
      <c r="A14" s="2" t="s">
        <v>8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9</v>
      </c>
    </row>
    <row r="17" customFormat="false" ht="15" hidden="false" customHeight="false" outlineLevel="0" collapsed="false">
      <c r="A17" s="2" t="s">
        <v>10</v>
      </c>
    </row>
    <row r="18" customFormat="false" ht="15" hidden="false" customHeight="false" outlineLevel="0" collapsed="false">
      <c r="A18" s="2" t="s">
        <v>11</v>
      </c>
    </row>
    <row r="19" customFormat="false" ht="15" hidden="false" customHeight="false" outlineLevel="0" collapsed="false">
      <c r="A19" s="2" t="s">
        <v>12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13</v>
      </c>
    </row>
    <row r="22" customFormat="false" ht="15" hidden="false" customHeight="false" outlineLevel="0" collapsed="false">
      <c r="A22" s="2" t="s">
        <v>14</v>
      </c>
    </row>
    <row r="23" customFormat="false" ht="15" hidden="false" customHeight="false" outlineLevel="0" collapsed="false">
      <c r="A23" s="2" t="s">
        <v>15</v>
      </c>
    </row>
    <row r="24" customFormat="false" ht="15" hidden="false" customHeight="false" outlineLevel="0" collapsed="false">
      <c r="A24" s="2" t="s">
        <v>16</v>
      </c>
    </row>
    <row r="25" customFormat="false" ht="15" hidden="false" customHeight="false" outlineLevel="0" collapsed="false">
      <c r="A25" s="2" t="s">
        <v>17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 t="s">
        <v>18</v>
      </c>
    </row>
    <row r="28" customFormat="false" ht="15" hidden="false" customHeight="false" outlineLevel="0" collapsed="false">
      <c r="A28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" t="s">
        <v>20</v>
      </c>
    </row>
    <row r="2" customFormat="false" ht="15" hidden="false" customHeight="false" outlineLevel="0" collapsed="false">
      <c r="A2" s="4" t="s">
        <v>21</v>
      </c>
    </row>
    <row r="4" customFormat="false" ht="15" hidden="false" customHeight="false" outlineLevel="0" collapsed="false">
      <c r="A4" s="5" t="s">
        <v>22</v>
      </c>
      <c r="B4" s="5" t="s">
        <v>23</v>
      </c>
      <c r="C4" s="5" t="s">
        <v>24</v>
      </c>
      <c r="D4" s="5" t="s">
        <v>25</v>
      </c>
    </row>
    <row r="5" customFormat="false" ht="15" hidden="false" customHeight="false" outlineLevel="0" collapsed="false">
      <c r="A5" s="6" t="s">
        <v>26</v>
      </c>
      <c r="B5" s="7" t="n">
        <v>0.1</v>
      </c>
      <c r="C5" s="6" t="s">
        <v>27</v>
      </c>
      <c r="D5" s="6" t="s">
        <v>28</v>
      </c>
    </row>
    <row r="6" customFormat="false" ht="15" hidden="false" customHeight="false" outlineLevel="0" collapsed="false">
      <c r="A6" s="6" t="s">
        <v>29</v>
      </c>
      <c r="B6" s="7" t="n">
        <v>0.1</v>
      </c>
      <c r="C6" s="6" t="s">
        <v>27</v>
      </c>
      <c r="D6" s="6" t="s">
        <v>30</v>
      </c>
    </row>
    <row r="7" customFormat="false" ht="15" hidden="false" customHeight="false" outlineLevel="0" collapsed="false">
      <c r="A7" s="6" t="s">
        <v>31</v>
      </c>
      <c r="B7" s="7" t="n">
        <v>0.1</v>
      </c>
      <c r="C7" s="6" t="s">
        <v>32</v>
      </c>
      <c r="D7" s="6" t="s">
        <v>33</v>
      </c>
    </row>
    <row r="8" customFormat="false" ht="15" hidden="false" customHeight="false" outlineLevel="0" collapsed="false">
      <c r="A8" s="6" t="s">
        <v>34</v>
      </c>
      <c r="B8" s="7" t="n">
        <v>0.1</v>
      </c>
      <c r="C8" s="6" t="s">
        <v>32</v>
      </c>
      <c r="D8" s="6" t="s">
        <v>35</v>
      </c>
    </row>
    <row r="9" customFormat="false" ht="15" hidden="false" customHeight="false" outlineLevel="0" collapsed="false">
      <c r="A9" s="6" t="s">
        <v>36</v>
      </c>
      <c r="B9" s="7" t="n">
        <v>0.1</v>
      </c>
      <c r="C9" s="6" t="s">
        <v>27</v>
      </c>
      <c r="D9" s="6" t="s">
        <v>37</v>
      </c>
    </row>
    <row r="10" customFormat="false" ht="15" hidden="false" customHeight="false" outlineLevel="0" collapsed="false">
      <c r="A10" s="6" t="s">
        <v>38</v>
      </c>
      <c r="B10" s="7" t="n">
        <v>0.5</v>
      </c>
      <c r="C10" s="6" t="s">
        <v>32</v>
      </c>
      <c r="D10" s="6" t="s">
        <v>39</v>
      </c>
    </row>
    <row r="11" customFormat="false" ht="15" hidden="false" customHeight="false" outlineLevel="0" collapsed="false">
      <c r="A11" s="8" t="s">
        <v>40</v>
      </c>
      <c r="B11" s="9" t="n">
        <f aca="false">SUM(B5:B10)</f>
        <v>1</v>
      </c>
    </row>
    <row r="12" customFormat="false" ht="15" hidden="false" customHeight="false" outlineLevel="0" collapsed="false">
      <c r="A12" s="10" t="str">
        <f aca="false">IF(ABS(SUM(B5:B10)-1)&lt;0.0001,"OK — your jars total 100%","FIX THIS: percentages must total 100%")</f>
        <v>OK — your jars total 100%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4" t="s">
        <v>42</v>
      </c>
    </row>
    <row r="4" customFormat="false" ht="15" hidden="false" customHeight="false" outlineLevel="0" collapsed="false">
      <c r="A4" s="5" t="s">
        <v>43</v>
      </c>
      <c r="B4" s="5" t="s">
        <v>44</v>
      </c>
      <c r="C4" s="5" t="s">
        <v>45</v>
      </c>
    </row>
    <row r="5" customFormat="false" ht="15" hidden="false" customHeight="false" outlineLevel="0" collapsed="false">
      <c r="A5" s="11" t="s">
        <v>46</v>
      </c>
      <c r="B5" s="11" t="s">
        <v>47</v>
      </c>
      <c r="C5" s="12" t="n">
        <v>2000</v>
      </c>
    </row>
    <row r="6" customFormat="false" ht="15" hidden="false" customHeight="false" outlineLevel="0" collapsed="false">
      <c r="A6" s="11" t="s">
        <v>48</v>
      </c>
      <c r="B6" s="11" t="s">
        <v>47</v>
      </c>
      <c r="C6" s="12" t="n"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4" t="s">
        <v>50</v>
      </c>
    </row>
    <row r="4" customFormat="false" ht="15" hidden="false" customHeight="false" outlineLevel="0" collapsed="false">
      <c r="A4" s="5" t="s">
        <v>43</v>
      </c>
      <c r="B4" s="5" t="s">
        <v>22</v>
      </c>
      <c r="C4" s="5" t="s">
        <v>51</v>
      </c>
      <c r="D4" s="5" t="s">
        <v>52</v>
      </c>
      <c r="E4" s="5" t="s">
        <v>53</v>
      </c>
    </row>
    <row r="5" customFormat="false" ht="15" hidden="false" customHeight="false" outlineLevel="0" collapsed="false">
      <c r="A5" s="11" t="s">
        <v>54</v>
      </c>
      <c r="B5" s="11" t="s">
        <v>38</v>
      </c>
      <c r="C5" s="12" t="n">
        <v>1200</v>
      </c>
      <c r="D5" s="11" t="s">
        <v>55</v>
      </c>
      <c r="E5" s="11" t="s">
        <v>56</v>
      </c>
    </row>
    <row r="6" customFormat="false" ht="15" hidden="false" customHeight="false" outlineLevel="0" collapsed="false">
      <c r="A6" s="11" t="s">
        <v>57</v>
      </c>
      <c r="B6" s="11" t="s">
        <v>38</v>
      </c>
      <c r="C6" s="12" t="n">
        <v>150</v>
      </c>
      <c r="D6" s="11" t="s">
        <v>58</v>
      </c>
      <c r="E6" s="11" t="s">
        <v>59</v>
      </c>
    </row>
    <row r="7" customFormat="false" ht="15" hidden="false" customHeight="false" outlineLevel="0" collapsed="false">
      <c r="A7" s="11" t="s">
        <v>60</v>
      </c>
      <c r="B7" s="11" t="s">
        <v>34</v>
      </c>
      <c r="C7" s="12" t="n">
        <v>60</v>
      </c>
      <c r="D7" s="11" t="s">
        <v>61</v>
      </c>
      <c r="E7" s="11" t="s">
        <v>59</v>
      </c>
    </row>
    <row r="8" customFormat="false" ht="15" hidden="false" customHeight="false" outlineLevel="0" collapsed="false">
      <c r="A8" s="11" t="s">
        <v>62</v>
      </c>
      <c r="B8" s="11" t="s">
        <v>31</v>
      </c>
      <c r="C8" s="12" t="n">
        <v>80</v>
      </c>
      <c r="D8" s="11" t="s">
        <v>63</v>
      </c>
      <c r="E8" s="11" t="s">
        <v>59</v>
      </c>
    </row>
    <row r="9" customFormat="false" ht="15" hidden="false" customHeight="false" outlineLevel="0" collapsed="false">
      <c r="A9" s="11" t="s">
        <v>64</v>
      </c>
      <c r="B9" s="11" t="s">
        <v>36</v>
      </c>
      <c r="C9" s="12" t="n">
        <v>50</v>
      </c>
      <c r="D9" s="11" t="s">
        <v>65</v>
      </c>
      <c r="E9" s="11" t="s">
        <v>56</v>
      </c>
    </row>
  </sheetData>
  <dataValidations count="2">
    <dataValidation allowBlank="true" errorStyle="stop" operator="between" showDropDown="false" showErrorMessage="false" showInputMessage="false" sqref="B5:B1000" type="list">
      <formula1>Jars!$A$5:$A$10</formula1>
      <formula2>0</formula2>
    </dataValidation>
    <dataValidation allowBlank="true" errorStyle="stop" operator="between" showDropDown="false" showErrorMessage="false" showInputMessage="false" sqref="E5:E1000" type="list">
      <formula1>"Cash/Debit,Credit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5" min="3" style="0" width="14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66</v>
      </c>
    </row>
    <row r="3" customFormat="false" ht="15" hidden="false" customHeight="false" outlineLevel="0" collapsed="false">
      <c r="A3" s="10" t="s">
        <v>67</v>
      </c>
      <c r="B3" s="13" t="n">
        <f aca="false">SUM(Income!C5:C1000)</f>
        <v>4000</v>
      </c>
    </row>
    <row r="5" customFormat="false" ht="15" hidden="false" customHeight="false" outlineLevel="0" collapsed="false">
      <c r="A5" s="5" t="s">
        <v>22</v>
      </c>
      <c r="B5" s="5" t="s">
        <v>24</v>
      </c>
      <c r="C5" s="5" t="s">
        <v>68</v>
      </c>
      <c r="D5" s="5" t="s">
        <v>69</v>
      </c>
      <c r="E5" s="5" t="s">
        <v>70</v>
      </c>
      <c r="F5" s="5" t="s">
        <v>71</v>
      </c>
    </row>
    <row r="6" customFormat="false" ht="15" hidden="false" customHeight="false" outlineLevel="0" collapsed="false">
      <c r="A6" s="6" t="str">
        <f aca="false">Jars!A5</f>
        <v>Financial Freedom</v>
      </c>
      <c r="B6" s="6" t="str">
        <f aca="false">Jars!C5</f>
        <v>Accumulate</v>
      </c>
      <c r="C6" s="14" t="n">
        <f aca="false">$B$3*Jars!B5</f>
        <v>400</v>
      </c>
      <c r="D6" s="14" t="n">
        <f aca="false">SUMIF(Expenses!$B$5:$B$1000,A6,Expenses!$C$5:$C$1000)</f>
        <v>0</v>
      </c>
      <c r="E6" s="14" t="n">
        <f aca="false">C6-D6</f>
        <v>400</v>
      </c>
      <c r="F6" s="15" t="n">
        <f aca="false">IF(C6=0,0,D6/C6)</f>
        <v>0</v>
      </c>
    </row>
    <row r="7" customFormat="false" ht="15" hidden="false" customHeight="false" outlineLevel="0" collapsed="false">
      <c r="A7" s="6" t="str">
        <f aca="false">Jars!A6</f>
        <v>Long-Term Savings</v>
      </c>
      <c r="B7" s="6" t="str">
        <f aca="false">Jars!C6</f>
        <v>Accumulate</v>
      </c>
      <c r="C7" s="14" t="n">
        <f aca="false">$B$3*Jars!B6</f>
        <v>400</v>
      </c>
      <c r="D7" s="14" t="n">
        <f aca="false">SUMIF(Expenses!$B$5:$B$1000,A7,Expenses!$C$5:$C$1000)</f>
        <v>0</v>
      </c>
      <c r="E7" s="14" t="n">
        <f aca="false">C7-D7</f>
        <v>400</v>
      </c>
      <c r="F7" s="15" t="n">
        <f aca="false">IF(C7=0,0,D7/C7)</f>
        <v>0</v>
      </c>
    </row>
    <row r="8" customFormat="false" ht="15" hidden="false" customHeight="false" outlineLevel="0" collapsed="false">
      <c r="A8" s="6" t="str">
        <f aca="false">Jars!A7</f>
        <v>Education</v>
      </c>
      <c r="B8" s="6" t="str">
        <f aca="false">Jars!C7</f>
        <v>Spend</v>
      </c>
      <c r="C8" s="14" t="n">
        <f aca="false">$B$3*Jars!B7</f>
        <v>400</v>
      </c>
      <c r="D8" s="14" t="n">
        <f aca="false">SUMIF(Expenses!$B$5:$B$1000,A8,Expenses!$C$5:$C$1000)</f>
        <v>80</v>
      </c>
      <c r="E8" s="14" t="n">
        <f aca="false">C8-D8</f>
        <v>320</v>
      </c>
      <c r="F8" s="15" t="n">
        <f aca="false">IF(C8=0,0,D8/C8)</f>
        <v>0.2</v>
      </c>
    </row>
    <row r="9" customFormat="false" ht="15" hidden="false" customHeight="false" outlineLevel="0" collapsed="false">
      <c r="A9" s="6" t="str">
        <f aca="false">Jars!A8</f>
        <v>Play</v>
      </c>
      <c r="B9" s="6" t="str">
        <f aca="false">Jars!C8</f>
        <v>Spend</v>
      </c>
      <c r="C9" s="14" t="n">
        <f aca="false">$B$3*Jars!B8</f>
        <v>400</v>
      </c>
      <c r="D9" s="14" t="n">
        <f aca="false">SUMIF(Expenses!$B$5:$B$1000,A9,Expenses!$C$5:$C$1000)</f>
        <v>60</v>
      </c>
      <c r="E9" s="14" t="n">
        <f aca="false">C9-D9</f>
        <v>340</v>
      </c>
      <c r="F9" s="15" t="n">
        <f aca="false">IF(C9=0,0,D9/C9)</f>
        <v>0.15</v>
      </c>
    </row>
    <row r="10" customFormat="false" ht="15" hidden="false" customHeight="false" outlineLevel="0" collapsed="false">
      <c r="A10" s="6" t="str">
        <f aca="false">Jars!A9</f>
        <v>Give</v>
      </c>
      <c r="B10" s="6" t="str">
        <f aca="false">Jars!C9</f>
        <v>Accumulate</v>
      </c>
      <c r="C10" s="14" t="n">
        <f aca="false">$B$3*Jars!B9</f>
        <v>400</v>
      </c>
      <c r="D10" s="14" t="n">
        <f aca="false">SUMIF(Expenses!$B$5:$B$1000,A10,Expenses!$C$5:$C$1000)</f>
        <v>50</v>
      </c>
      <c r="E10" s="14" t="n">
        <f aca="false">C10-D10</f>
        <v>350</v>
      </c>
      <c r="F10" s="15" t="n">
        <f aca="false">IF(C10=0,0,D10/C10)</f>
        <v>0.125</v>
      </c>
    </row>
    <row r="11" customFormat="false" ht="15" hidden="false" customHeight="false" outlineLevel="0" collapsed="false">
      <c r="A11" s="6" t="str">
        <f aca="false">Jars!A10</f>
        <v>Necessities</v>
      </c>
      <c r="B11" s="6" t="str">
        <f aca="false">Jars!C10</f>
        <v>Spend</v>
      </c>
      <c r="C11" s="14" t="n">
        <f aca="false">$B$3*Jars!B10</f>
        <v>2000</v>
      </c>
      <c r="D11" s="14" t="n">
        <f aca="false">SUMIF(Expenses!$B$5:$B$1000,A11,Expenses!$C$5:$C$1000)</f>
        <v>1350</v>
      </c>
      <c r="E11" s="14" t="n">
        <f aca="false">C11-D11</f>
        <v>650</v>
      </c>
      <c r="F11" s="15" t="n">
        <f aca="false">IF(C11=0,0,D11/C11)</f>
        <v>0.675</v>
      </c>
    </row>
    <row r="12" customFormat="false" ht="15" hidden="false" customHeight="false" outlineLevel="0" collapsed="false">
      <c r="A12" s="8" t="s">
        <v>40</v>
      </c>
      <c r="B12" s="16"/>
      <c r="C12" s="17" t="n">
        <f aca="false">SUM(C6:C11)</f>
        <v>4000</v>
      </c>
      <c r="D12" s="17" t="n">
        <f aca="false">SUM(D6:D11)</f>
        <v>1540</v>
      </c>
      <c r="E12" s="17" t="n">
        <f aca="false">SUM(E6:E11)</f>
        <v>2460</v>
      </c>
      <c r="F12" s="16"/>
    </row>
    <row r="14" customFormat="false" ht="15" hidden="false" customHeight="false" outlineLevel="0" collapsed="false">
      <c r="A14" s="4" t="s">
        <v>72</v>
      </c>
    </row>
  </sheetData>
  <conditionalFormatting sqref="F6:F11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{898D6F31-AAE7-4B52-8C66-7FE42188D4BC}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8D6F31-AAE7-4B52-8C66-7FE42188D4B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F6:F11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2026-06-09T14:16:37Z</dcterms:created>
  <dc:creator>openpyxl</dc:creator>
  <dc:description/>
  <dc:language>en-US</dc:language>
  <cp:lastModifiedBy/>
  <dcterms:modified xsi:type="dcterms:W3CDTF">2026-06-09T14:16:37Z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